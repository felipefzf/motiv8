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10\"/>
    </mc:Choice>
  </mc:AlternateContent>
  <xr:revisionPtr revIDLastSave="0" documentId="13_ncr:1_{9017723E-1A8C-4819-A9D8-4BCC303882C7}"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I52" i="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I29" i="1"/>
  <c r="G29" i="1"/>
  <c r="E29" i="1"/>
  <c r="J30" i="1"/>
  <c r="K30" i="1" s="1"/>
  <c r="H30" i="1"/>
  <c r="I30" i="1" s="1"/>
  <c r="F30" i="1"/>
  <c r="G30" i="1" s="1"/>
  <c r="D30" i="1"/>
  <c r="E30" i="1" s="1"/>
  <c r="C43" i="1" l="1"/>
  <c r="C44" i="1" s="1"/>
  <c r="C54" i="1"/>
  <c r="C55" i="1" s="1"/>
  <c r="E31" i="1"/>
  <c r="G31" i="1"/>
  <c r="I31" i="1"/>
  <c r="K31" i="1"/>
  <c r="E13" i="1"/>
  <c r="E14" i="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<sst xmlns="http://schemas.openxmlformats.org/spreadsheetml/2006/main" count="147" uniqueCount="80">
  <si>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</si>
  <si>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</si>
  <si>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</si>
  <si>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</si>
  <si>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</si>
  <si>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</si>
  <si>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</si>
  <si>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</si>
  <si>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</si>
  <si>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</si>
  <si>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</si>
  <si>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</si>
  <si>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</si>
  <si>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</si>
  <si>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</si>
  <si>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</si>
  <si>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</si>
  <si>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</si>
  <si>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</si>
  <si>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</si>
  <si>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</si>
  <si>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</si>
  <si>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</si>
  <si>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</si>
  <si>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</si>
  <si>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</si>
  <si>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</si>
  <si>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</si>
  <si>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</si>
  <si>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</si>
  <si>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</si>
  <si>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</si>
  <si>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</si>
  <si>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</si>
  <si>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</si>
  <si>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</si>
  <si>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</si>
  <si>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</si>
  <si>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</si>
  <si>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</si>
  <si>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</si>
  <si>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</si>
  <si>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</si>
  <si>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</si>
  <si>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</si>
  <si>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</si>
  <si>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</si>
  <si>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</si>
  <si>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</si>
  <si>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</si>
  <si>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</si>
  <si>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</si>
  <si>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</si>
  <si>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</si>
  <si>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</si>
  <si>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</si>
  <si>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</si>
  <si>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</si>
  <si>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</si>
  <si>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</si>
  <si>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</si>
  <si>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</si>
  <si>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</si>
  <si>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</si>
  <si>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</si>
  <si>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</si>
  <si>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</si>
  <si>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</si>
  <si>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</si>
  <si>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</si>
  <si>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</si>
  <si>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</si>
  <si>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</si>
  <si>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</si>
  <si>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</si>
  <si>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</si>
  <si>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</si>
  <si>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Felipe Zamorano</t>
  </si>
  <si>
    <t>Pablo Alcaíno</t>
  </si>
  <si>
    <t>Tomás Paz de la Vega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</si>
</sst>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E56" sqref="E5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77</v>
      </c>
      <c r="C4" s="5">
        <f>EVALUACION1!$C$21</f>
        <v>5.4</v>
      </c>
      <c r="D4" s="5">
        <f>$C$32</f>
        <v>5.8</v>
      </c>
      <c r="E4" s="6">
        <f>C4*C$2+D4*D$2</f>
        <v>5.5000000000000009</v>
      </c>
      <c r="G4" s="1"/>
    </row>
    <row r="5" spans="1:11">
      <c r="A5" s="4">
        <v>2</v>
      </c>
      <c r="B5" s="27" t="s">
        <v>78</v>
      </c>
      <c r="C5" s="5">
        <f>EVALUACION1!$C$21</f>
        <v>5.4</v>
      </c>
      <c r="D5" s="5">
        <f>C44</f>
        <v>5.8</v>
      </c>
      <c r="E5" s="6">
        <f t="shared" ref="E5:E6" si="0">C5*C$2+D5*D$2</f>
        <v>5.5000000000000009</v>
      </c>
      <c r="G5" s="1"/>
    </row>
    <row r="6" spans="1:11">
      <c r="A6" s="4">
        <v>3</v>
      </c>
      <c r="B6" s="27" t="s">
        <v>79</v>
      </c>
      <c r="C6" s="5">
        <f>EVALUACION1!$C$21</f>
        <v>5.4</v>
      </c>
      <c r="D6" s="5">
        <f>C55</f>
        <v>5.8</v>
      </c>
      <c r="E6" s="6">
        <f t="shared" si="0"/>
        <v>5.5000000000000009</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
        <v>76</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76</v>
      </c>
      <c r="G14" s="16">
        <f>IF(F14="X",60*0.2,"")</f>
        <v>12</v>
      </c>
      <c r="H14" s="16" t="str">
        <f t="shared" si="1"/>
        <v/>
      </c>
      <c r="I14" s="16" t="str">
        <f>IF(H14="X",30*0.2,"")</f>
        <v/>
      </c>
      <c r="J14" s="16" t="str">
        <f t="shared" si="2"/>
        <v/>
      </c>
      <c r="K14" s="16" t="str">
        <f t="shared" si="3"/>
        <v/>
      </c>
    </row>
    <row r="15" spans="1:11" ht="24" outlineLevel="1">
      <c r="A15" s="70"/>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c r="A16" s="70"/>
      <c r="B16" s="30" t="str">
        <f>RUBRICA!A8</f>
        <v>5. Utiliza de manera precisa el lenguaje técnico en los entregables de acuerdo con lo requerido por la disciplina.</v>
      </c>
      <c r="C16" s="28" t="s">
        <v>63</v>
      </c>
      <c r="D16" s="16"/>
      <c r="E16" s="16" t="str">
        <f>IF(D16="X",100*0.05,"")</f>
        <v/>
      </c>
      <c r="F16" s="16" t="s">
        <v>76</v>
      </c>
      <c r="G16" s="16">
        <f>IF(F16="X",60*0.05,"")</f>
        <v>3</v>
      </c>
      <c r="H16" s="16" t="str">
        <f t="shared" si="1"/>
        <v/>
      </c>
      <c r="I16" s="16" t="str">
        <f>IF(H16="X",30*0.05,"")</f>
        <v/>
      </c>
      <c r="J16" s="16" t="str">
        <f t="shared" si="2"/>
        <v/>
      </c>
      <c r="K16" s="16" t="str">
        <f t="shared" si="3"/>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4">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76</v>
      </c>
      <c r="G18" s="16">
        <f>IF(F18="X",60*0.15,"")</f>
        <v>9</v>
      </c>
      <c r="H18" s="16" t="str">
        <f>IF($C18=ML,"X","")</f>
        <v/>
      </c>
      <c r="I18" s="16" t="str">
        <f>IF(H18="X",30*0.15,"")</f>
        <v/>
      </c>
      <c r="J18" s="16" t="str">
        <f>IF($C18=NL,"X","")</f>
        <v/>
      </c>
      <c r="K18" s="16" t="str">
        <f t="shared" si="4"/>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c r="A20" s="65"/>
      <c r="B20" s="29" t="s">
        <v>66</v>
      </c>
      <c r="C20" s="33">
        <f>E20+G20+I20+K20</f>
        <v>59</v>
      </c>
      <c r="D20" s="19"/>
      <c r="E20" s="19">
        <f>SUM(E13:E19)</f>
        <v>35</v>
      </c>
      <c r="F20" s="19"/>
      <c r="G20" s="19">
        <f>SUM(G13:G19)</f>
        <v>24</v>
      </c>
      <c r="H20" s="19"/>
      <c r="I20" s="19">
        <f>SUM(I13:I19)</f>
        <v>0</v>
      </c>
      <c r="J20" s="19"/>
      <c r="K20" s="19">
        <f>SUM(K13:K19)</f>
        <v>0</v>
      </c>
    </row>
    <row r="21" spans="1:11" ht="15.75" customHeight="1" outlineLevel="1">
      <c r="A21" s="54"/>
      <c r="B21" s="32" t="s">
        <v>67</v>
      </c>
      <c r="C21" s="20">
        <f>VLOOKUP(C20,ESCALA_IEP!A1:B152,2,FALSE)</f>
        <v>5.4</v>
      </c>
    </row>
    <row r="22" spans="1:11" ht="15.75" customHeight="1"/>
    <row r="23" spans="1:11" ht="15.75" customHeight="1"/>
    <row r="24" spans="1:11" ht="15.75" customHeight="1">
      <c r="A24" s="64" t="s">
        <v>59</v>
      </c>
      <c r="B24" s="53" t="s">
        <v>68</v>
      </c>
      <c r="C24" s="56" t="str">
        <f>$B$4</f>
        <v>Felipe Zamorano</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c r="A29" s="65"/>
      <c r="B29" s="30" t="str">
        <f>RUBRICA!A11</f>
        <v>8. Expone el tema utilizando un lenguaje técnico disciplinar al presentar la propuesta y responde evidenciando un manejo de la información. *</v>
      </c>
      <c r="C29" s="28" t="s">
        <v>63</v>
      </c>
      <c r="D29" s="16"/>
      <c r="E29" s="16" t="str">
        <f>IF(D29="X",100*0.1,"")</f>
        <v/>
      </c>
      <c r="F29" s="16" t="s">
        <v>76</v>
      </c>
      <c r="G29" s="16">
        <f>IF(F29="X",60*0.1,"")</f>
        <v>6</v>
      </c>
      <c r="H29" s="16"/>
      <c r="I29" s="16" t="str">
        <f>IF(H29="X",30*0.1,"")</f>
        <v/>
      </c>
      <c r="J29" s="16" t="str">
        <f t="shared" si="8"/>
        <v/>
      </c>
      <c r="K29" s="16" t="str">
        <f t="shared" si="9"/>
        <v/>
      </c>
    </row>
    <row r="30" spans="1:11" ht="25.9" customHeight="1">
      <c r="A30" s="65"/>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c r="A31" s="65"/>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4" t="s">
        <v>59</v>
      </c>
      <c r="B36" s="53" t="s">
        <v>68</v>
      </c>
      <c r="C36" s="56" t="str">
        <f>B5</f>
        <v>Pablo Alcaíno</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c r="A41" s="65"/>
      <c r="B41" s="30" t="str">
        <f>RUBRICA!A11</f>
        <v>8. Expone el tema utilizando un lenguaje técnico disciplinar al presentar la propuesta y responde evidenciando un manejo de la información. *</v>
      </c>
      <c r="C41" s="28" t="s">
        <v>63</v>
      </c>
      <c r="D41" s="16"/>
      <c r="E41" s="16" t="str">
        <f>IF(D41="X",100*0.1,"")</f>
        <v/>
      </c>
      <c r="F41" s="16" t="s">
        <v>76</v>
      </c>
      <c r="G41" s="16">
        <f>IF(F41="X",60*0.1,"")</f>
        <v>6</v>
      </c>
      <c r="H41" s="16" t="str">
        <f t="shared" si="12"/>
        <v/>
      </c>
      <c r="I41" s="16" t="str">
        <f>IF(H41="X",30*0.1,"")</f>
        <v/>
      </c>
      <c r="J41" s="16" t="str">
        <f t="shared" si="13"/>
        <v/>
      </c>
      <c r="K41" s="16" t="str">
        <f t="shared" si="14"/>
        <v/>
      </c>
    </row>
    <row r="42" spans="1:11">
      <c r="A42" s="65"/>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c r="A43" s="65"/>
      <c r="B43" s="21" t="s">
        <v>70</v>
      </c>
      <c r="C43" s="18">
        <f>E43+G43+I43+K43</f>
        <v>21</v>
      </c>
      <c r="D43" s="19"/>
      <c r="E43" s="19">
        <f>SUM(E40:E42)</f>
        <v>15</v>
      </c>
      <c r="F43" s="19"/>
      <c r="G43" s="19">
        <f>SUM(G40:G42)</f>
        <v>6</v>
      </c>
      <c r="H43" s="19"/>
      <c r="I43" s="19">
        <f>SUM(I40:I42)</f>
        <v>0</v>
      </c>
      <c r="J43" s="19"/>
      <c r="K43" s="19">
        <f>SUM(K41:K42)</f>
        <v>0</v>
      </c>
    </row>
    <row r="44" spans="1:11" ht="15.75" customHeight="1">
      <c r="A44" s="54"/>
      <c r="B44" s="17" t="s">
        <v>67</v>
      </c>
      <c r="C44" s="20">
        <f>VLOOKUP(C43,ESCALA_TRAB_EQUIP!A1:B52,2,FALSE)</f>
        <v>5.8</v>
      </c>
    </row>
    <row r="45" spans="1:11" ht="15.75" customHeight="1">
      <c r="B45" s="22"/>
      <c r="C45" s="23"/>
    </row>
    <row r="46" spans="1:11" ht="15.75" customHeight="1">
      <c r="B46" s="22"/>
      <c r="C46" s="23"/>
    </row>
    <row r="47" spans="1:11" ht="15.75" customHeight="1">
      <c r="A47" s="64" t="s">
        <v>59</v>
      </c>
      <c r="B47" s="53" t="s">
        <v>68</v>
      </c>
      <c r="C47" s="56" t="str">
        <f>B6</f>
        <v>Tomás Paz de la Vega</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5">IF($C51=CL,"X","")</f>
        <v>X</v>
      </c>
      <c r="E51" s="16">
        <f>IF(D51="X",100*0.05,"")</f>
        <v>5</v>
      </c>
      <c r="F51" s="16" t="str">
        <f t="shared" ref="F51:F53" si="16">IF($C51=L,"X","")</f>
        <v/>
      </c>
      <c r="G51" s="16" t="str">
        <f>IF(F51="X",60*0.05,"")</f>
        <v/>
      </c>
      <c r="H51" s="16" t="str">
        <f t="shared" ref="H51:H53" si="17">IF($C51=ML,"X","")</f>
        <v/>
      </c>
      <c r="I51" s="16" t="str">
        <f>IF(H51="X",30*0.05,"")</f>
        <v/>
      </c>
      <c r="J51" s="16" t="str">
        <f t="shared" ref="J51:J53" si="18">IF($C51=NL,"X","")</f>
        <v/>
      </c>
      <c r="K51" s="16" t="str">
        <f t="shared" ref="K51:K53" si="19">IF($J51="X",0,"")</f>
        <v/>
      </c>
    </row>
    <row r="52" spans="1:11" ht="25.9" customHeight="1">
      <c r="A52" s="65"/>
      <c r="B52" s="30" t="str">
        <f>RUBRICA!A11</f>
        <v>8. Expone el tema utilizando un lenguaje técnico disciplinar al presentar la propuesta y responde evidenciando un manejo de la información. *</v>
      </c>
      <c r="C52" s="28" t="s">
        <v>63</v>
      </c>
      <c r="D52" s="16"/>
      <c r="E52" s="16" t="str">
        <f>IF(D52="X",100*0.1,"")</f>
        <v/>
      </c>
      <c r="F52" s="16" t="s">
        <v>76</v>
      </c>
      <c r="G52" s="16">
        <f>IF(F52="X",60*0.1,"")</f>
        <v>6</v>
      </c>
      <c r="H52" s="16"/>
      <c r="I52" s="16" t="str">
        <f>IF(H52="X",30*0.1,"")</f>
        <v/>
      </c>
      <c r="J52" s="16" t="str">
        <f t="shared" si="18"/>
        <v/>
      </c>
      <c r="K52" s="16" t="str">
        <f t="shared" si="19"/>
        <v/>
      </c>
    </row>
    <row r="53" spans="1:11">
      <c r="A53" s="65"/>
      <c r="B53" s="30" t="str">
        <f>RUBRICA!A13</f>
        <v>10. Colaboración y trabajo en equipo *</v>
      </c>
      <c r="C53" s="28" t="s">
        <v>63</v>
      </c>
      <c r="D53" s="16" t="str">
        <f t="shared" si="15"/>
        <v>X</v>
      </c>
      <c r="E53" s="16">
        <f>IF(D53="X",100*0.1,"")</f>
        <v>10</v>
      </c>
      <c r="F53" s="16" t="str">
        <f t="shared" si="16"/>
        <v/>
      </c>
      <c r="G53" s="16" t="str">
        <f>IF(F53="X",60*0.1,"")</f>
        <v/>
      </c>
      <c r="H53" s="16" t="str">
        <f t="shared" si="17"/>
        <v/>
      </c>
      <c r="I53" s="16" t="str">
        <f>IF(H53="X",30*0.1,"")</f>
        <v/>
      </c>
      <c r="J53" s="16" t="str">
        <f t="shared" si="18"/>
        <v/>
      </c>
      <c r="K53" s="16" t="str">
        <f t="shared" si="19"/>
        <v/>
      </c>
    </row>
    <row r="54" spans="1:11" ht="15.75" customHeight="1">
      <c r="A54" s="65"/>
      <c r="B54" s="21" t="s">
        <v>70</v>
      </c>
      <c r="C54" s="18">
        <f>E54+G54+I54+K54</f>
        <v>21</v>
      </c>
      <c r="D54" s="19"/>
      <c r="E54" s="19">
        <f>SUM(E51:E53)</f>
        <v>15</v>
      </c>
      <c r="F54" s="19"/>
      <c r="G54" s="19">
        <f>SUM(G51:G53)</f>
        <v>6</v>
      </c>
      <c r="H54" s="19"/>
      <c r="I54" s="19">
        <f>SUM(I51:I53)</f>
        <v>0</v>
      </c>
      <c r="J54" s="19"/>
      <c r="K54" s="19">
        <f>SUM(K52:K53)</f>
        <v>0</v>
      </c>
    </row>
    <row r="55" spans="1:11" ht="15.75" customHeight="1">
      <c r="A55" s="54"/>
      <c r="B55" s="17" t="s">
        <v>67</v>
      </c>
      <c r="C55" s="20">
        <f>VLOOKUP(C54,ESCALA_TRAB_EQUIP!A1:B52,2,FALSE)</f>
        <v>5.8</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Patricio</cp:lastModifiedBy>
  <cp:revision/>
  <dcterms:created xsi:type="dcterms:W3CDTF">2023-08-07T04:08:01Z</dcterms:created>
  <dcterms:modified xsi:type="dcterms:W3CDTF">2025-11-27T13:16:03Z</dcterms:modified>
  <cp:category/>
  <cp:contentStatus/>
</cp:coreProperties>
</file>